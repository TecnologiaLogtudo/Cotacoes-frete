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BAEE2B9-C13B-4BD6-A395-9F821D8E002B}" xr6:coauthVersionLast="47" xr6:coauthVersionMax="47" xr10:uidLastSave="{00000000-0000-0000-0000-000000000000}"/>
  <bookViews>
    <workbookView xWindow="-120" yWindow="-120" windowWidth="29040" windowHeight="15720" xr2:uid="{80A34710-B564-45C4-94D6-F17F3E08C98F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6" i="1" l="1"/>
  <c r="AL5" i="1"/>
  <c r="AL4" i="1"/>
  <c r="AL3" i="2"/>
  <c r="AL2" i="2"/>
  <c r="AL1" i="2"/>
  <c r="AL19" i="1"/>
  <c r="AL15" i="1"/>
  <c r="AL16" i="1"/>
  <c r="AL17" i="1"/>
  <c r="AL18" i="1"/>
  <c r="AL20" i="1"/>
  <c r="AL7" i="1"/>
  <c r="AL8" i="1"/>
  <c r="AL9" i="1"/>
  <c r="AL10" i="1"/>
  <c r="AL11" i="1"/>
  <c r="AL12" i="1"/>
  <c r="AL13" i="1"/>
  <c r="AL14" i="1"/>
</calcChain>
</file>

<file path=xl/sharedStrings.xml><?xml version="1.0" encoding="utf-8"?>
<sst xmlns="http://schemas.openxmlformats.org/spreadsheetml/2006/main" count="109" uniqueCount="64">
  <si>
    <t>Nome</t>
  </si>
  <si>
    <t>Placa</t>
  </si>
  <si>
    <t>Perfil</t>
  </si>
  <si>
    <t xml:space="preserve">Operação </t>
  </si>
  <si>
    <t>Número</t>
  </si>
  <si>
    <t xml:space="preserve">TOTAL </t>
  </si>
  <si>
    <t>FIXO</t>
  </si>
  <si>
    <t>OPERAÇÕES D2D SSA</t>
  </si>
  <si>
    <t>SSA - MYTRACKING</t>
  </si>
  <si>
    <t>Base</t>
  </si>
  <si>
    <t>FCZ-2H02</t>
  </si>
  <si>
    <t>MARCELO AUGUSTO GOVEA /CARLOS</t>
  </si>
  <si>
    <t>RBF-9G45</t>
  </si>
  <si>
    <t xml:space="preserve">RODRIGO DA SILVA </t>
  </si>
  <si>
    <t>QUY-4J37</t>
  </si>
  <si>
    <t>LUCILDO FERNANDES DE OLIVEIRA</t>
  </si>
  <si>
    <t>RLY-2J89</t>
  </si>
  <si>
    <t>RAPHAEL SILVA E SILVA</t>
  </si>
  <si>
    <t>OHF-2A72</t>
  </si>
  <si>
    <t>ANTONIO EDUARDO OLIVEIRA DE ARAUJO</t>
  </si>
  <si>
    <t>RZJ-3A49</t>
  </si>
  <si>
    <t>LEONARDO SILVA BRANDAO</t>
  </si>
  <si>
    <t>RWM-0G94</t>
  </si>
  <si>
    <t xml:space="preserve">NEIRIBERTO NUNES DOS SANTOS </t>
  </si>
  <si>
    <t>ONN-3I57</t>
  </si>
  <si>
    <t>LUIZ CARLOS</t>
  </si>
  <si>
    <t>RIC-5I07</t>
  </si>
  <si>
    <t>DAVID DOS SANTOS LIMA MOURA</t>
  </si>
  <si>
    <t>JOSE RAIMUNDO</t>
  </si>
  <si>
    <t>SAK-7I72</t>
  </si>
  <si>
    <t>SEBASTIÃO COSTA DA SILVA</t>
  </si>
  <si>
    <t>QLV-6H48</t>
  </si>
  <si>
    <t>PABLO HENRIQUE DOS SANTOS SILVA</t>
  </si>
  <si>
    <t>NDP-7D16</t>
  </si>
  <si>
    <t xml:space="preserve">FLORISVALDO OLIVEIRA DE FREITAS </t>
  </si>
  <si>
    <t>PDF-2F21</t>
  </si>
  <si>
    <t>HELTON/VALDENI RAIMUNDO</t>
  </si>
  <si>
    <t>EXD-9D67</t>
  </si>
  <si>
    <t>PAULO ROBERTO DOS SANTOS</t>
  </si>
  <si>
    <t>QQQ-9F80</t>
  </si>
  <si>
    <t>MARCOS PAULO</t>
  </si>
  <si>
    <t xml:space="preserve"> RZB-1I37</t>
  </si>
  <si>
    <t xml:space="preserve">PGE-8E66 </t>
  </si>
  <si>
    <t>3/4 - NILO</t>
  </si>
  <si>
    <t>TOCO - NILO</t>
  </si>
  <si>
    <t>TRUCK SPOT - NILO</t>
  </si>
  <si>
    <t>TRUCK - NILO</t>
  </si>
  <si>
    <t>3/4 - TECA PISTA</t>
  </si>
  <si>
    <t>BONGO - NILO</t>
  </si>
  <si>
    <t>CARRETA - SURFACE</t>
  </si>
  <si>
    <t>FORTALEZA</t>
  </si>
  <si>
    <t>J. PESSOA</t>
  </si>
  <si>
    <t>SÃO LUIS</t>
  </si>
  <si>
    <t>TERESINA</t>
  </si>
  <si>
    <t>BELEM</t>
  </si>
  <si>
    <t>VARZEA GRANDE</t>
  </si>
  <si>
    <t>RIO LARGO</t>
  </si>
  <si>
    <t>MACAPÁ</t>
  </si>
  <si>
    <t>RIO BRANCO</t>
  </si>
  <si>
    <t>PORTO VELHO</t>
  </si>
  <si>
    <t>SALVADOR</t>
  </si>
  <si>
    <t>BRASILIA</t>
  </si>
  <si>
    <t>BOA VISTA</t>
  </si>
  <si>
    <t>EDLAILSON RIBEIRO FREIRE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</si>
</sst>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;@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Continuous" vertical="top"/>
    </xf>
    <xf numFmtId="0" fontId="0" fillId="2" borderId="0" xfId="0" applyFill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0" fillId="3" borderId="0" xfId="0" applyFill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4" xfId="0" applyFill="1" applyBorder="1"/>
    <xf numFmtId="0" fontId="5" fillId="7" borderId="4" xfId="0" applyFont="1" applyFill="1" applyBorder="1" applyAlignment="1">
      <alignment horizontal="center"/>
    </xf>
    <xf numFmtId="0" fontId="0" fillId="0" borderId="8" xfId="0" applyBorder="1"/>
    <xf numFmtId="44" fontId="0" fillId="0" borderId="0" xfId="1" applyFont="1"/>
    <xf numFmtId="164" fontId="3" fillId="5" borderId="9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44" fontId="0" fillId="0" borderId="4" xfId="1" applyFont="1" applyBorder="1"/>
    <xf numFmtId="0" fontId="6" fillId="6" borderId="4" xfId="0" applyFont="1" applyFill="1" applyBorder="1" applyAlignment="1">
      <alignment horizontal="left"/>
    </xf>
    <xf numFmtId="0" fontId="6" fillId="7" borderId="4" xfId="0" applyFont="1" applyFill="1" applyBorder="1"/>
    <xf numFmtId="0" fontId="0" fillId="7" borderId="4" xfId="0" applyFont="1" applyFill="1" applyBorder="1"/>
    <xf numFmtId="44" fontId="0" fillId="0" borderId="8" xfId="1" applyFont="1" applyBorder="1"/>
    <xf numFmtId="44" fontId="0" fillId="0" borderId="10" xfId="1" applyFont="1" applyBorder="1"/>
    <xf numFmtId="0" fontId="6" fillId="6" borderId="4" xfId="0" applyFont="1" applyFill="1" applyBorder="1"/>
    <xf numFmtId="12" fontId="0" fillId="6" borderId="4" xfId="2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0839-0706-4306-B9BA-1C371C8406A8}">
  <dimension ref="A1:AL54"/>
  <sheetViews>
    <sheetView tabSelected="1" workbookViewId="0">
      <pane xSplit="6" topLeftCell="G1" activePane="topRight" state="frozen"/>
      <selection pane="topRight" activeCell="G32" sqref="F32:G32"/>
    </sheetView>
  </sheetViews>
  <sheetFormatPr defaultRowHeight="14.25"/>
  <cols>
    <col min="1" max="1" width="37.5" bestFit="1" customWidth="1"/>
    <col min="2" max="2" width="18.5" customWidth="1"/>
    <col min="3" max="3" width="16.25" bestFit="1" customWidth="1"/>
    <col min="4" max="4" width="20" customWidth="1"/>
    <col min="7" max="7" width="11.875" customWidth="1"/>
    <col min="8" max="8" width="10.375" bestFit="1" customWidth="1"/>
    <col min="9" max="9" width="14.75" customWidth="1"/>
    <col min="10" max="10" width="10.375" bestFit="1" customWidth="1"/>
    <col min="26" max="26" width="11.875" customWidth="1"/>
    <col min="37" max="37" width="8.875" customWidth="1"/>
    <col min="38" max="38" width="12.375" style="19" customWidth="1"/>
  </cols>
  <sheetData>
    <row r="1" spans="1:38" ht="23.25">
      <c r="A1" s="30" t="s">
        <v>7</v>
      </c>
      <c r="B1" s="31"/>
      <c r="C1" s="31"/>
      <c r="D1" s="31"/>
      <c r="E1" s="1"/>
      <c r="F1" s="1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/>
    </row>
    <row r="2" spans="1:38" ht="15">
      <c r="A2" s="32" t="s">
        <v>8</v>
      </c>
      <c r="B2" s="33"/>
      <c r="C2" s="33"/>
      <c r="D2" s="33"/>
      <c r="E2" s="4"/>
      <c r="F2" s="4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/>
    </row>
    <row r="3" spans="1:38" ht="15">
      <c r="A3" s="7" t="s">
        <v>0</v>
      </c>
      <c r="B3" s="7" t="s">
        <v>1</v>
      </c>
      <c r="C3" s="7" t="s">
        <v>9</v>
      </c>
      <c r="D3" s="7" t="s">
        <v>2</v>
      </c>
      <c r="E3" s="7" t="s">
        <v>3</v>
      </c>
      <c r="F3" s="8" t="s">
        <v>4</v>
      </c>
      <c r="G3" s="9">
        <v>46143</v>
      </c>
      <c r="H3" s="9">
        <v>46144</v>
      </c>
      <c r="I3" s="9">
        <v>46145</v>
      </c>
      <c r="J3" s="9">
        <v>46146</v>
      </c>
      <c r="K3" s="9">
        <v>46147</v>
      </c>
      <c r="L3" s="9">
        <v>46148</v>
      </c>
      <c r="M3" s="9">
        <v>46149</v>
      </c>
      <c r="N3" s="9">
        <v>46150</v>
      </c>
      <c r="O3" s="9">
        <v>46151</v>
      </c>
      <c r="P3" s="9">
        <v>46122</v>
      </c>
      <c r="Q3" s="9">
        <v>46153</v>
      </c>
      <c r="R3" s="9">
        <v>46154</v>
      </c>
      <c r="S3" s="9">
        <v>46155</v>
      </c>
      <c r="T3" s="9">
        <v>46126</v>
      </c>
      <c r="U3" s="9">
        <v>46157</v>
      </c>
      <c r="V3" s="9">
        <v>46158</v>
      </c>
      <c r="W3" s="9">
        <v>46159</v>
      </c>
      <c r="X3" s="9">
        <v>46160</v>
      </c>
      <c r="Y3" s="9">
        <v>46161</v>
      </c>
      <c r="Z3" s="9">
        <v>46162</v>
      </c>
      <c r="AA3" s="9">
        <v>46163</v>
      </c>
      <c r="AB3" s="9">
        <v>46164</v>
      </c>
      <c r="AC3" s="9">
        <v>46135</v>
      </c>
      <c r="AD3" s="9">
        <v>46166</v>
      </c>
      <c r="AE3" s="9">
        <v>46167</v>
      </c>
      <c r="AF3" s="9">
        <v>46168</v>
      </c>
      <c r="AG3" s="9">
        <v>46169</v>
      </c>
      <c r="AH3" s="9">
        <v>46170</v>
      </c>
      <c r="AI3" s="9">
        <v>46171</v>
      </c>
      <c r="AJ3" s="9">
        <v>46172</v>
      </c>
      <c r="AK3" s="20">
        <v>46173</v>
      </c>
      <c r="AL3" s="21" t="s">
        <v>5</v>
      </c>
    </row>
    <row r="4" spans="1:38" ht="15">
      <c r="A4" s="23" t="s">
        <v>63</v>
      </c>
      <c r="B4" s="11" t="s">
        <v>10</v>
      </c>
      <c r="C4" s="11" t="s">
        <v>50</v>
      </c>
      <c r="D4" s="29" t="s">
        <v>43</v>
      </c>
      <c r="E4" s="11" t="s">
        <v>6</v>
      </c>
      <c r="F4" s="18">
        <v>3052702</v>
      </c>
      <c r="G4" s="26"/>
      <c r="H4" s="26"/>
      <c r="I4" s="26">
        <v>500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7"/>
      <c r="AL4" s="22">
        <f>SUM(G4:AK4)</f>
        <v>500</v>
      </c>
    </row>
    <row r="5" spans="1:38" ht="15">
      <c r="A5" s="23" t="s">
        <v>11</v>
      </c>
      <c r="B5" s="11" t="s">
        <v>12</v>
      </c>
      <c r="C5" s="11" t="s">
        <v>50</v>
      </c>
      <c r="D5" s="11" t="s">
        <v>44</v>
      </c>
      <c r="E5" s="11" t="s">
        <v>6</v>
      </c>
      <c r="F5" s="18">
        <v>3059645</v>
      </c>
      <c r="G5" s="26"/>
      <c r="H5" s="26"/>
      <c r="I5" s="26">
        <v>320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7"/>
      <c r="AL5" s="22">
        <f>SUM(G5:AK5)</f>
        <v>320</v>
      </c>
    </row>
    <row r="6" spans="1:38" ht="15">
      <c r="A6" s="23" t="s">
        <v>13</v>
      </c>
      <c r="B6" s="11" t="s">
        <v>14</v>
      </c>
      <c r="C6" s="11" t="s">
        <v>50</v>
      </c>
      <c r="D6" s="11" t="s">
        <v>45</v>
      </c>
      <c r="E6" s="11" t="s">
        <v>6</v>
      </c>
      <c r="F6" s="18">
        <v>3054937</v>
      </c>
      <c r="G6" s="26"/>
      <c r="H6" s="26"/>
      <c r="I6" s="26">
        <v>533.33000000000004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7"/>
      <c r="AL6" s="22">
        <f>SUM(G6:AK6)</f>
        <v>533.33000000000004</v>
      </c>
    </row>
    <row r="7" spans="1:38" ht="15">
      <c r="A7" s="23" t="s">
        <v>15</v>
      </c>
      <c r="B7" s="11" t="s">
        <v>16</v>
      </c>
      <c r="C7" s="11" t="s">
        <v>51</v>
      </c>
      <c r="D7" s="29" t="s">
        <v>43</v>
      </c>
      <c r="E7" s="11" t="s">
        <v>6</v>
      </c>
      <c r="F7" s="18">
        <v>3052989</v>
      </c>
      <c r="G7" s="26"/>
      <c r="H7" s="26"/>
      <c r="I7" s="26">
        <v>466.67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7"/>
      <c r="AL7" s="22">
        <f>SUM(G7:AK7)</f>
        <v>466.67</v>
      </c>
    </row>
    <row r="8" spans="1:38" ht="15">
      <c r="A8" s="23" t="s">
        <v>17</v>
      </c>
      <c r="B8" s="11" t="s">
        <v>18</v>
      </c>
      <c r="C8" s="11" t="s">
        <v>52</v>
      </c>
      <c r="D8" s="29" t="s">
        <v>43</v>
      </c>
      <c r="E8" s="11" t="s">
        <v>6</v>
      </c>
      <c r="F8" s="18">
        <v>3052072</v>
      </c>
      <c r="G8" s="26"/>
      <c r="H8" s="26"/>
      <c r="I8" s="26">
        <v>466.67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7"/>
      <c r="AL8" s="22">
        <f>SUM(G8:AK8)</f>
        <v>466.67</v>
      </c>
    </row>
    <row r="9" spans="1:38" ht="15">
      <c r="A9" s="23" t="s">
        <v>19</v>
      </c>
      <c r="B9" s="11" t="s">
        <v>20</v>
      </c>
      <c r="C9" s="11" t="s">
        <v>53</v>
      </c>
      <c r="D9" s="29" t="s">
        <v>43</v>
      </c>
      <c r="E9" s="11" t="s">
        <v>6</v>
      </c>
      <c r="F9" s="18">
        <v>3053049</v>
      </c>
      <c r="G9" s="26"/>
      <c r="H9" s="26"/>
      <c r="I9" s="26">
        <v>466.67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7"/>
      <c r="AL9" s="22">
        <f>SUM(G9:AK9)</f>
        <v>466.67</v>
      </c>
    </row>
    <row r="10" spans="1:38" ht="15">
      <c r="A10" s="23" t="s">
        <v>21</v>
      </c>
      <c r="B10" s="11" t="s">
        <v>22</v>
      </c>
      <c r="C10" s="11" t="s">
        <v>54</v>
      </c>
      <c r="D10" s="11" t="s">
        <v>46</v>
      </c>
      <c r="E10" s="11" t="s">
        <v>6</v>
      </c>
      <c r="F10" s="18">
        <v>3059694</v>
      </c>
      <c r="G10" s="26"/>
      <c r="H10" s="26"/>
      <c r="I10" s="26">
        <v>666.67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7"/>
      <c r="AL10" s="22">
        <f>SUM(G10:AK10)</f>
        <v>666.67</v>
      </c>
    </row>
    <row r="11" spans="1:38" ht="15">
      <c r="A11" s="23" t="s">
        <v>23</v>
      </c>
      <c r="B11" s="11" t="s">
        <v>24</v>
      </c>
      <c r="C11" s="11" t="s">
        <v>55</v>
      </c>
      <c r="D11" s="29" t="s">
        <v>43</v>
      </c>
      <c r="E11" s="11" t="s">
        <v>6</v>
      </c>
      <c r="F11" s="18">
        <v>3053857</v>
      </c>
      <c r="G11" s="26"/>
      <c r="H11" s="26"/>
      <c r="I11" s="26">
        <v>500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7"/>
      <c r="AL11" s="22">
        <f>SUM(G11:AK11)</f>
        <v>500</v>
      </c>
    </row>
    <row r="12" spans="1:38" ht="15">
      <c r="A12" s="23" t="s">
        <v>25</v>
      </c>
      <c r="B12" s="11" t="s">
        <v>26</v>
      </c>
      <c r="C12" s="11" t="s">
        <v>56</v>
      </c>
      <c r="D12" s="29" t="s">
        <v>43</v>
      </c>
      <c r="E12" s="11" t="s">
        <v>6</v>
      </c>
      <c r="F12" s="18">
        <v>3055807</v>
      </c>
      <c r="G12" s="26"/>
      <c r="H12" s="26"/>
      <c r="I12" s="26">
        <v>466.67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7"/>
      <c r="AL12" s="22">
        <f>SUM(G12:AK12)</f>
        <v>466.67</v>
      </c>
    </row>
    <row r="13" spans="1:38">
      <c r="A13" s="10" t="s">
        <v>27</v>
      </c>
      <c r="B13" s="11" t="s">
        <v>42</v>
      </c>
      <c r="C13" s="11" t="s">
        <v>56</v>
      </c>
      <c r="D13" s="13" t="s">
        <v>47</v>
      </c>
      <c r="E13" s="12" t="s">
        <v>6</v>
      </c>
      <c r="F13" s="18">
        <v>3058466</v>
      </c>
      <c r="G13" s="26"/>
      <c r="H13" s="26"/>
      <c r="I13" s="26">
        <v>900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7"/>
      <c r="AL13" s="22">
        <f>SUM(G13:AK13)</f>
        <v>900</v>
      </c>
    </row>
    <row r="14" spans="1:38">
      <c r="A14" s="10" t="s">
        <v>28</v>
      </c>
      <c r="B14" s="11" t="s">
        <v>29</v>
      </c>
      <c r="C14" s="11" t="s">
        <v>57</v>
      </c>
      <c r="D14" s="29" t="s">
        <v>43</v>
      </c>
      <c r="E14" s="12" t="s">
        <v>6</v>
      </c>
      <c r="F14" s="18">
        <v>3057872</v>
      </c>
      <c r="G14" s="26"/>
      <c r="H14" s="26"/>
      <c r="I14" s="26">
        <v>460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7"/>
      <c r="AL14" s="22">
        <f>SUM(G14:AK14)</f>
        <v>460</v>
      </c>
    </row>
    <row r="15" spans="1:38">
      <c r="A15" s="10" t="s">
        <v>30</v>
      </c>
      <c r="B15" s="11" t="s">
        <v>31</v>
      </c>
      <c r="C15" s="11" t="s">
        <v>58</v>
      </c>
      <c r="D15" s="13" t="s">
        <v>48</v>
      </c>
      <c r="E15" s="12" t="s">
        <v>6</v>
      </c>
      <c r="F15" s="18">
        <v>3056748</v>
      </c>
      <c r="G15" s="26"/>
      <c r="H15" s="26"/>
      <c r="I15" s="26">
        <v>483.33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7"/>
      <c r="AL15" s="22">
        <f>SUM(G15:AK15)</f>
        <v>483.33</v>
      </c>
    </row>
    <row r="16" spans="1:38">
      <c r="A16" s="10" t="s">
        <v>32</v>
      </c>
      <c r="B16" s="11" t="s">
        <v>33</v>
      </c>
      <c r="C16" s="11" t="s">
        <v>59</v>
      </c>
      <c r="D16" s="13" t="s">
        <v>48</v>
      </c>
      <c r="E16" s="12" t="s">
        <v>6</v>
      </c>
      <c r="F16" s="18">
        <v>3057316</v>
      </c>
      <c r="G16" s="26"/>
      <c r="H16" s="26"/>
      <c r="I16" s="26">
        <v>400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7"/>
      <c r="AL16" s="22">
        <f>SUM(G16:AK16)</f>
        <v>400</v>
      </c>
    </row>
    <row r="17" spans="1:38">
      <c r="A17" s="10" t="s">
        <v>34</v>
      </c>
      <c r="B17" s="11" t="s">
        <v>35</v>
      </c>
      <c r="C17" s="11" t="s">
        <v>60</v>
      </c>
      <c r="D17" s="11" t="s">
        <v>46</v>
      </c>
      <c r="E17" s="12" t="s">
        <v>6</v>
      </c>
      <c r="F17" s="18">
        <v>3052521</v>
      </c>
      <c r="G17" s="26"/>
      <c r="H17" s="26"/>
      <c r="I17" s="26">
        <v>616.66999999999996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7"/>
      <c r="AL17" s="22">
        <f>SUM(G17:AK17)</f>
        <v>616.66999999999996</v>
      </c>
    </row>
    <row r="18" spans="1:38">
      <c r="A18" s="10" t="s">
        <v>36</v>
      </c>
      <c r="B18" s="11" t="s">
        <v>37</v>
      </c>
      <c r="C18" s="11" t="s">
        <v>61</v>
      </c>
      <c r="D18" s="11" t="s">
        <v>46</v>
      </c>
      <c r="E18" s="12" t="s">
        <v>6</v>
      </c>
      <c r="F18" s="18">
        <v>3059367</v>
      </c>
      <c r="G18" s="26"/>
      <c r="H18" s="26"/>
      <c r="I18" s="26">
        <v>600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7"/>
      <c r="AL18" s="22">
        <f>SUM(G18:AK18)</f>
        <v>600</v>
      </c>
    </row>
    <row r="19" spans="1:38">
      <c r="A19" s="10" t="s">
        <v>38</v>
      </c>
      <c r="B19" s="11" t="s">
        <v>39</v>
      </c>
      <c r="C19" s="11" t="s">
        <v>61</v>
      </c>
      <c r="D19" s="13" t="s">
        <v>49</v>
      </c>
      <c r="E19" s="12" t="s">
        <v>6</v>
      </c>
      <c r="F19" s="18">
        <v>3059580</v>
      </c>
      <c r="G19" s="26"/>
      <c r="H19" s="26"/>
      <c r="I19" s="26">
        <v>1333.34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7"/>
      <c r="AL19" s="22">
        <f>SUM(G19:AK19)</f>
        <v>1333.34</v>
      </c>
    </row>
    <row r="20" spans="1:38" ht="15">
      <c r="A20" s="28" t="s">
        <v>40</v>
      </c>
      <c r="B20" s="11" t="s">
        <v>41</v>
      </c>
      <c r="C20" s="11" t="s">
        <v>62</v>
      </c>
      <c r="D20" s="29" t="s">
        <v>43</v>
      </c>
      <c r="E20" s="11" t="s">
        <v>6</v>
      </c>
      <c r="F20" s="18">
        <v>3051837</v>
      </c>
      <c r="G20" s="26"/>
      <c r="H20" s="26"/>
      <c r="I20" s="26">
        <v>500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7"/>
      <c r="AL20" s="22">
        <f>SUM(G20:AK20)</f>
        <v>500</v>
      </c>
    </row>
    <row r="21" spans="1:38" ht="15">
      <c r="A21" s="24"/>
      <c r="B21" s="14"/>
      <c r="C21" s="14"/>
      <c r="D21" s="14"/>
      <c r="E21" s="14"/>
      <c r="F21" s="18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7"/>
      <c r="AL21" s="22"/>
    </row>
    <row r="22" spans="1:38" ht="15">
      <c r="A22" s="24"/>
      <c r="B22" s="14"/>
      <c r="C22" s="14"/>
      <c r="D22" s="14"/>
      <c r="E22" s="14"/>
      <c r="F22" s="18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7"/>
      <c r="AL22" s="22"/>
    </row>
    <row r="23" spans="1:38" ht="15">
      <c r="A23" s="24"/>
      <c r="B23" s="14"/>
      <c r="C23" s="14"/>
      <c r="D23" s="14"/>
      <c r="E23" s="14"/>
      <c r="F23" s="18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7"/>
      <c r="AL23" s="22"/>
    </row>
    <row r="24" spans="1:38" ht="15">
      <c r="A24" s="24"/>
      <c r="B24" s="14"/>
      <c r="C24" s="14"/>
      <c r="D24" s="14"/>
      <c r="E24" s="14"/>
      <c r="F24" s="18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7"/>
      <c r="AL24" s="22"/>
    </row>
    <row r="25" spans="1:38" ht="15">
      <c r="A25" s="24"/>
      <c r="B25" s="14"/>
      <c r="C25" s="14"/>
      <c r="D25" s="14"/>
      <c r="E25" s="14"/>
      <c r="F25" s="18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7"/>
      <c r="AL25" s="22"/>
    </row>
    <row r="26" spans="1:38" ht="15">
      <c r="A26" s="24"/>
      <c r="B26" s="14"/>
      <c r="C26" s="14"/>
      <c r="D26" s="14"/>
      <c r="E26" s="14"/>
      <c r="F26" s="18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7"/>
      <c r="AL26" s="22"/>
    </row>
    <row r="27" spans="1:38">
      <c r="A27" s="25"/>
      <c r="B27" s="14"/>
      <c r="C27" s="14"/>
      <c r="D27" s="14"/>
      <c r="E27" s="14"/>
      <c r="F27" s="18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7"/>
      <c r="AL27" s="22"/>
    </row>
    <row r="28" spans="1:38">
      <c r="A28" s="16"/>
      <c r="B28" s="14"/>
      <c r="C28" s="14"/>
      <c r="D28" s="14"/>
      <c r="E28" s="15"/>
      <c r="F28" s="18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7"/>
      <c r="AL28" s="22"/>
    </row>
    <row r="29" spans="1:38">
      <c r="A29" s="16"/>
      <c r="B29" s="14"/>
      <c r="C29" s="14"/>
      <c r="D29" s="14"/>
      <c r="E29" s="15"/>
      <c r="F29" s="18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7"/>
      <c r="AL29" s="22"/>
    </row>
    <row r="30" spans="1:38">
      <c r="A30" s="16"/>
      <c r="B30" s="14"/>
      <c r="C30" s="14"/>
      <c r="D30" s="14"/>
      <c r="E30" s="15"/>
      <c r="F30" s="18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7"/>
      <c r="AL30" s="22"/>
    </row>
    <row r="31" spans="1:38">
      <c r="A31" s="16"/>
      <c r="B31" s="14"/>
      <c r="C31" s="14"/>
      <c r="D31" s="17"/>
      <c r="E31" s="15"/>
      <c r="F31" s="18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7"/>
      <c r="AL31" s="22"/>
    </row>
    <row r="32" spans="1:38">
      <c r="A32" s="16"/>
      <c r="B32" s="14"/>
      <c r="C32" s="14"/>
      <c r="D32" s="14"/>
      <c r="E32" s="15"/>
      <c r="F32" s="18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7"/>
      <c r="AL32" s="22"/>
    </row>
    <row r="33" spans="1:38">
      <c r="A33" s="16"/>
      <c r="B33" s="14"/>
      <c r="C33" s="14"/>
      <c r="D33" s="14"/>
      <c r="E33" s="15"/>
      <c r="F33" s="18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7"/>
      <c r="AL33" s="22"/>
    </row>
    <row r="34" spans="1:38">
      <c r="A34" s="16"/>
      <c r="B34" s="14"/>
      <c r="C34" s="14"/>
      <c r="D34" s="14"/>
      <c r="E34" s="15"/>
      <c r="F34" s="18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7"/>
      <c r="AL34" s="22"/>
    </row>
    <row r="35" spans="1:38">
      <c r="A35" s="16"/>
      <c r="B35" s="14"/>
      <c r="C35" s="14"/>
      <c r="D35" s="14"/>
      <c r="E35" s="15"/>
      <c r="F35" s="18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7"/>
      <c r="AL35" s="22"/>
    </row>
    <row r="36" spans="1:38">
      <c r="A36" s="16"/>
      <c r="B36" s="14"/>
      <c r="C36" s="14"/>
      <c r="D36" s="14"/>
      <c r="E36" s="15"/>
      <c r="F36" s="18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7"/>
      <c r="AL36" s="22"/>
    </row>
    <row r="37" spans="1:38">
      <c r="A37" s="16"/>
      <c r="B37" s="14"/>
      <c r="C37" s="14"/>
      <c r="D37" s="14"/>
      <c r="E37" s="15"/>
      <c r="F37" s="18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7"/>
      <c r="AL37" s="22"/>
    </row>
    <row r="38" spans="1:38">
      <c r="A38" s="16"/>
      <c r="B38" s="14"/>
      <c r="C38" s="14"/>
      <c r="D38" s="14"/>
      <c r="E38" s="15"/>
      <c r="F38" s="1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7"/>
      <c r="AL38" s="22"/>
    </row>
    <row r="39" spans="1:38">
      <c r="A39" s="16"/>
      <c r="B39" s="14"/>
      <c r="C39" s="14"/>
      <c r="D39" s="14"/>
      <c r="E39" s="15"/>
      <c r="F39" s="18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7"/>
      <c r="AL39" s="22"/>
    </row>
    <row r="40" spans="1:38">
      <c r="A40" s="16"/>
      <c r="B40" s="14"/>
      <c r="C40" s="14"/>
      <c r="D40" s="14"/>
      <c r="E40" s="15"/>
      <c r="F40" s="18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7"/>
      <c r="AL40" s="22"/>
    </row>
    <row r="41" spans="1:38">
      <c r="A41" s="16"/>
      <c r="B41" s="14"/>
      <c r="C41" s="14"/>
      <c r="D41" s="14"/>
      <c r="E41" s="15"/>
      <c r="F41" s="1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7"/>
      <c r="AL41" s="22"/>
    </row>
    <row r="42" spans="1:38">
      <c r="A42" s="16"/>
      <c r="B42" s="14"/>
      <c r="C42" s="14"/>
      <c r="D42" s="14"/>
      <c r="E42" s="15"/>
      <c r="F42" s="18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7"/>
      <c r="AL42" s="22"/>
    </row>
    <row r="43" spans="1:38">
      <c r="A43" s="16"/>
      <c r="B43" s="14"/>
      <c r="C43" s="14"/>
      <c r="D43" s="14"/>
      <c r="E43" s="15"/>
      <c r="F43" s="1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7"/>
      <c r="AL43" s="22"/>
    </row>
    <row r="44" spans="1:38">
      <c r="A44" s="16"/>
      <c r="B44" s="14"/>
      <c r="C44" s="14"/>
      <c r="D44" s="14"/>
      <c r="E44" s="15"/>
      <c r="F44" s="1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7"/>
      <c r="AL44" s="22"/>
    </row>
    <row r="45" spans="1:38">
      <c r="A45" s="16"/>
      <c r="B45" s="14"/>
      <c r="C45" s="14"/>
      <c r="D45" s="14"/>
      <c r="E45" s="15"/>
      <c r="F45" s="18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7"/>
      <c r="AL45" s="22"/>
    </row>
    <row r="46" spans="1:38">
      <c r="A46" s="16"/>
      <c r="B46" s="14"/>
      <c r="C46" s="14"/>
      <c r="D46" s="14"/>
      <c r="E46" s="15"/>
      <c r="F46" s="18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7"/>
      <c r="AL46" s="22"/>
    </row>
    <row r="47" spans="1:38">
      <c r="A47" s="16"/>
      <c r="B47" s="14"/>
      <c r="C47" s="14"/>
      <c r="D47" s="14"/>
      <c r="E47" s="15"/>
      <c r="F47" s="18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7"/>
      <c r="AL47" s="22"/>
    </row>
    <row r="48" spans="1:38">
      <c r="A48" s="16"/>
      <c r="B48" s="14"/>
      <c r="C48" s="14"/>
      <c r="D48" s="14"/>
      <c r="E48" s="15"/>
      <c r="F48" s="18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7"/>
      <c r="AL48" s="22"/>
    </row>
    <row r="49" spans="1:38">
      <c r="A49" s="16"/>
      <c r="B49" s="14"/>
      <c r="C49" s="14"/>
      <c r="D49" s="14"/>
      <c r="E49" s="15"/>
      <c r="F49" s="18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7"/>
      <c r="AL49" s="22"/>
    </row>
    <row r="50" spans="1:38">
      <c r="A50" s="16"/>
      <c r="B50" s="14"/>
      <c r="C50" s="14"/>
      <c r="D50" s="14"/>
      <c r="E50" s="15"/>
      <c r="F50" s="18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7"/>
      <c r="AL50" s="22"/>
    </row>
    <row r="51" spans="1:38">
      <c r="A51" s="16"/>
      <c r="B51" s="14"/>
      <c r="C51" s="14"/>
      <c r="D51" s="14"/>
      <c r="E51" s="15"/>
      <c r="F51" s="18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7"/>
      <c r="AL51" s="22"/>
    </row>
    <row r="52" spans="1:38">
      <c r="A52" s="16"/>
      <c r="B52" s="14"/>
      <c r="C52" s="14"/>
      <c r="D52" s="14"/>
      <c r="E52" s="15"/>
      <c r="F52" s="18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7"/>
      <c r="AL52" s="22"/>
    </row>
    <row r="53" spans="1:38">
      <c r="A53" s="16"/>
      <c r="B53" s="14"/>
      <c r="C53" s="14"/>
      <c r="D53" s="14"/>
      <c r="E53" s="15"/>
      <c r="F53" s="18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7"/>
      <c r="AL53" s="22"/>
    </row>
    <row r="54" spans="1:38">
      <c r="A54" s="16"/>
      <c r="B54" s="14"/>
      <c r="C54" s="14"/>
      <c r="D54" s="14"/>
      <c r="E54" s="15"/>
      <c r="F54" s="18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7"/>
      <c r="AL54" s="22"/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8D30-9ECA-4882-9912-8F2705B9599E}">
  <dimension ref="A1:AL3"/>
  <sheetViews>
    <sheetView workbookViewId="0">
      <selection sqref="A1:XFD3"/>
    </sheetView>
  </sheetViews>
  <sheetFormatPr defaultRowHeight="14.25"/>
  <sheetData>
    <row r="1" spans="1:38" ht="15">
      <c r="A1" s="23" t="s">
        <v>63</v>
      </c>
      <c r="B1" s="11" t="s">
        <v>10</v>
      </c>
      <c r="C1" s="11" t="s">
        <v>50</v>
      </c>
      <c r="D1" s="29" t="s">
        <v>43</v>
      </c>
      <c r="E1" s="11" t="s">
        <v>6</v>
      </c>
      <c r="F1" s="18">
        <v>3052702</v>
      </c>
      <c r="G1" s="26"/>
      <c r="H1" s="26"/>
      <c r="I1" s="26">
        <v>500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2">
        <f>SUM(G1:AK1)</f>
        <v>500</v>
      </c>
    </row>
    <row r="2" spans="1:38" ht="15">
      <c r="A2" s="23" t="s">
        <v>11</v>
      </c>
      <c r="B2" s="11" t="s">
        <v>12</v>
      </c>
      <c r="C2" s="11" t="s">
        <v>50</v>
      </c>
      <c r="D2" s="11" t="s">
        <v>44</v>
      </c>
      <c r="E2" s="11" t="s">
        <v>6</v>
      </c>
      <c r="F2" s="18">
        <v>3059645</v>
      </c>
      <c r="G2" s="26"/>
      <c r="H2" s="26"/>
      <c r="I2" s="26">
        <v>320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7"/>
      <c r="AL2" s="22">
        <f>SUM(G2:AK2)</f>
        <v>320</v>
      </c>
    </row>
    <row r="3" spans="1:38" ht="15">
      <c r="A3" s="23" t="s">
        <v>13</v>
      </c>
      <c r="B3" s="11" t="s">
        <v>14</v>
      </c>
      <c r="C3" s="11" t="s">
        <v>50</v>
      </c>
      <c r="D3" s="11" t="s">
        <v>45</v>
      </c>
      <c r="E3" s="11" t="s">
        <v>6</v>
      </c>
      <c r="F3" s="18">
        <v>3054937</v>
      </c>
      <c r="G3" s="26"/>
      <c r="H3" s="26"/>
      <c r="I3" s="26">
        <v>533.33000000000004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7"/>
      <c r="AL3" s="22">
        <f>SUM(G3:AK3)</f>
        <v>533.33000000000004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Celestino</dc:creator>
  <cp:lastModifiedBy>Felipe Leal</cp:lastModifiedBy>
  <dcterms:created xsi:type="dcterms:W3CDTF">2026-04-02T14:24:35Z</dcterms:created>
  <dcterms:modified xsi:type="dcterms:W3CDTF">2026-05-04T19:09:04Z</dcterms:modified>
</cp:coreProperties>
</file>