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qu\OneDrive\Documentos\"/>
    </mc:Choice>
  </mc:AlternateContent>
  <xr:revisionPtr revIDLastSave="0" documentId="13_ncr:1_{7711CF3E-9895-4686-B1EF-1CA731AB1796}" xr6:coauthVersionLast="47" xr6:coauthVersionMax="47" xr10:uidLastSave="{00000000-0000-0000-0000-000000000000}"/>
  <bookViews>
    <workbookView xWindow="-108" yWindow="-108" windowWidth="23256" windowHeight="12576" xr2:uid="{80A34710-B564-45C4-94D6-F17F3E08C9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22" i="1" l="1"/>
  <c r="AL23" i="1"/>
  <c r="AL11" i="1"/>
  <c r="AL21" i="1"/>
  <c r="AL17" i="1"/>
  <c r="AL18" i="1"/>
  <c r="AL19" i="1"/>
  <c r="AL2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29" i="1"/>
  <c r="AL30" i="1"/>
  <c r="AL28" i="1"/>
  <c r="AL5" i="1"/>
  <c r="AL6" i="1"/>
  <c r="AL7" i="1"/>
  <c r="AL8" i="1"/>
  <c r="AL9" i="1"/>
  <c r="AL10" i="1"/>
  <c r="AL12" i="1"/>
  <c r="AL13" i="1"/>
  <c r="AL14" i="1"/>
  <c r="AL15" i="1"/>
  <c r="AL16" i="1"/>
  <c r="AL4" i="1"/>
</calcChain>
</file>

<file path=xl/sharedStrings.xml><?xml version="1.0" encoding="utf-8"?>
<sst xmlns="http://schemas.openxmlformats.org/spreadsheetml/2006/main" count="169" uniqueCount="89">
  <si>
    <t>Nome</t>
  </si>
  <si>
    <t>Placa</t>
  </si>
  <si>
    <t>Perfil</t>
  </si>
  <si>
    <t xml:space="preserve">Operação </t>
  </si>
  <si>
    <t>Número</t>
  </si>
  <si>
    <t>FIORINO</t>
  </si>
  <si>
    <t>BONGO</t>
  </si>
  <si>
    <t>SPOT</t>
  </si>
  <si>
    <t xml:space="preserve">TOTAL </t>
  </si>
  <si>
    <t>FIXO PG DIA 20</t>
  </si>
  <si>
    <t>SPOT 1 A 15 PG DIA 25</t>
  </si>
  <si>
    <t>SPOT 16 A 31 PG DIA 10</t>
  </si>
  <si>
    <t>FIXO</t>
  </si>
  <si>
    <t xml:space="preserve">NAILSON SILVA </t>
  </si>
  <si>
    <t>OYS0D73</t>
  </si>
  <si>
    <t>ARACAJU</t>
  </si>
  <si>
    <t xml:space="preserve">CHARLES HENRIQUE </t>
  </si>
  <si>
    <t>PDE1J28</t>
  </si>
  <si>
    <t>JOELSON POUBEL (COLOSSO)</t>
  </si>
  <si>
    <t>OUG9833</t>
  </si>
  <si>
    <t>PORTO SEGURO</t>
  </si>
  <si>
    <t xml:space="preserve">FLAVIO CARNEIRO </t>
  </si>
  <si>
    <t>RVO0H30</t>
  </si>
  <si>
    <t>IMPERATRIZ</t>
  </si>
  <si>
    <t>RICARDO DA CRUZ</t>
  </si>
  <si>
    <t>PTL3G43</t>
  </si>
  <si>
    <t>TAIRO NOVAIS</t>
  </si>
  <si>
    <t>PTP5512</t>
  </si>
  <si>
    <t>WATSON FRANCA</t>
  </si>
  <si>
    <t>PKE5H04</t>
  </si>
  <si>
    <t>ILHEUS</t>
  </si>
  <si>
    <t>NAILSON PEREIRA</t>
  </si>
  <si>
    <t>TCM3B02</t>
  </si>
  <si>
    <t>TERESINA</t>
  </si>
  <si>
    <t>MARCELO DA SILVA</t>
  </si>
  <si>
    <t>PSP6A35</t>
  </si>
  <si>
    <t>WALDIMIRO MENDES</t>
  </si>
  <si>
    <t>OQX6J10</t>
  </si>
  <si>
    <t>TIAGO CABRAL</t>
  </si>
  <si>
    <t>RSO9G73</t>
  </si>
  <si>
    <t>CLAUDIO REGIS</t>
  </si>
  <si>
    <t>QRR7460</t>
  </si>
  <si>
    <t>ANTONIO DE PADUA</t>
  </si>
  <si>
    <t>HQE3E28</t>
  </si>
  <si>
    <t xml:space="preserve">GILVANE DOS REIS </t>
  </si>
  <si>
    <t>SIB0H94</t>
  </si>
  <si>
    <t>ALEX SANTOS OLIVEIRA</t>
  </si>
  <si>
    <t>SIF9E00</t>
  </si>
  <si>
    <t>MOTO</t>
  </si>
  <si>
    <t>MIZAEL ALVES</t>
  </si>
  <si>
    <t>ORU0F35</t>
  </si>
  <si>
    <t>VITOR NEVES</t>
  </si>
  <si>
    <t>EFW2F58</t>
  </si>
  <si>
    <t>FRANCISCO AURELIO</t>
  </si>
  <si>
    <t>WESLEY PROBO</t>
  </si>
  <si>
    <t>RZJ3A49</t>
  </si>
  <si>
    <t>WILLIANDRO DOS SANTOS</t>
  </si>
  <si>
    <t>QWS1C19</t>
  </si>
  <si>
    <t>LEONARDO SANTOS</t>
  </si>
  <si>
    <t>QPW7H68</t>
  </si>
  <si>
    <t>WELLINGTON TOBIAS</t>
  </si>
  <si>
    <t>NSP6272</t>
  </si>
  <si>
    <t>BELEM</t>
  </si>
  <si>
    <t>BRUNO CARNEIRO</t>
  </si>
  <si>
    <t>QDG4B33</t>
  </si>
  <si>
    <t>ANDERSON VIEIRA</t>
  </si>
  <si>
    <t>PEX3A84</t>
  </si>
  <si>
    <t>MACEIO</t>
  </si>
  <si>
    <t>ANDERSON BRUNO</t>
  </si>
  <si>
    <t>EKH2E00</t>
  </si>
  <si>
    <t>RENATA COUTINHO</t>
  </si>
  <si>
    <t>MNM7708</t>
  </si>
  <si>
    <t>DIEGO ARAUJO</t>
  </si>
  <si>
    <t>XLX6307</t>
  </si>
  <si>
    <t>ALOISIO RIBEIRO</t>
  </si>
  <si>
    <t>ALE9F94</t>
  </si>
  <si>
    <t xml:space="preserve"> MYTRACKING</t>
  </si>
  <si>
    <t xml:space="preserve">OPERAÇÕES D2D </t>
  </si>
  <si>
    <t>Base</t>
  </si>
  <si>
    <t>V. DA CONQUISTA</t>
  </si>
  <si>
    <t>AL TRANSPORTES</t>
  </si>
  <si>
    <t>RCT7G45</t>
  </si>
  <si>
    <t xml:space="preserve">VALORES </t>
  </si>
  <si>
    <t>BASE</t>
  </si>
  <si>
    <t>280 / 320 / 350</t>
  </si>
  <si>
    <t xml:space="preserve">V. DA CONQUISTA </t>
  </si>
  <si>
    <t>280 / 350</t>
  </si>
  <si>
    <t>250 / 320</t>
  </si>
  <si>
    <t>ILHÉUS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</si>
</sst>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d\-mmm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Continuous" vertical="top"/>
    </xf>
    <xf numFmtId="0" fontId="0" fillId="2" borderId="0" xfId="0" applyFill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0" fillId="3" borderId="0" xfId="0" applyFill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4" xfId="0" applyFill="1" applyBorder="1"/>
    <xf numFmtId="0" fontId="5" fillId="7" borderId="4" xfId="0" applyFont="1" applyFill="1" applyBorder="1" applyAlignment="1">
      <alignment horizontal="center"/>
    </xf>
    <xf numFmtId="0" fontId="0" fillId="0" borderId="8" xfId="0" applyBorder="1"/>
    <xf numFmtId="44" fontId="0" fillId="0" borderId="0" xfId="1" applyFont="1"/>
    <xf numFmtId="164" fontId="3" fillId="5" borderId="9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44" fontId="0" fillId="0" borderId="4" xfId="1" applyFont="1" applyBorder="1"/>
    <xf numFmtId="0" fontId="0" fillId="6" borderId="0" xfId="0" applyFill="1" applyBorder="1" applyAlignment="1">
      <alignment horizontal="center"/>
    </xf>
    <xf numFmtId="0" fontId="3" fillId="8" borderId="0" xfId="0" applyFont="1" applyFill="1"/>
    <xf numFmtId="0" fontId="7" fillId="6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0" fillId="0" borderId="0" xfId="0"/>
    <xf numFmtId="0" fontId="0" fillId="6" borderId="4" xfId="0" applyFill="1" applyBorder="1" applyAlignment="1">
      <alignment horizontal="center"/>
    </xf>
    <xf numFmtId="0" fontId="0" fillId="8" borderId="0" xfId="0" applyFill="1"/>
    <xf numFmtId="0" fontId="6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12" fontId="0" fillId="6" borderId="4" xfId="2" applyNumberFormat="1" applyFont="1" applyFill="1" applyBorder="1" applyAlignment="1">
      <alignment horizontal="center"/>
    </xf>
    <xf numFmtId="12" fontId="0" fillId="6" borderId="0" xfId="2" applyNumberFormat="1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12" fontId="0" fillId="8" borderId="0" xfId="2" applyNumberFormat="1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/>
    </xf>
    <xf numFmtId="44" fontId="0" fillId="0" borderId="10" xfId="1" applyFont="1" applyBorder="1"/>
    <xf numFmtId="44" fontId="0" fillId="0" borderId="8" xfId="1" applyFont="1" applyBorder="1"/>
    <xf numFmtId="0" fontId="0" fillId="0" borderId="0" xfId="0"/>
    <xf numFmtId="0" fontId="6" fillId="6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4">
    <cellStyle name="Moeda" xfId="1" builtinId="4"/>
    <cellStyle name="Moeda 2" xfId="3" xr:uid="{F3C9A6E9-BCA4-4204-886B-69A4F657746B}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0839-0706-4306-B9BA-1C371C8406A8}">
  <dimension ref="A1:AO62"/>
  <sheetViews>
    <sheetView tabSelected="1" workbookViewId="0">
      <pane xSplit="6" topLeftCell="M1" activePane="topRight" state="frozen"/>
      <selection pane="topRight" activeCell="C11" sqref="C11"/>
    </sheetView>
  </sheetViews>
  <sheetFormatPr defaultRowHeight="14.4" x14ac:dyDescent="0.3"/>
  <cols>
    <col min="1" max="1" width="37.44140625" bestFit="1" customWidth="1"/>
    <col min="2" max="2" width="9.6640625" bestFit="1" customWidth="1"/>
    <col min="3" max="3" width="23.109375" bestFit="1" customWidth="1"/>
    <col min="4" max="4" width="13.33203125" bestFit="1" customWidth="1"/>
    <col min="7" max="8" width="10.33203125" bestFit="1" customWidth="1"/>
    <col min="10" max="17" width="10.33203125" bestFit="1" customWidth="1"/>
    <col min="19" max="22" width="10.33203125" bestFit="1" customWidth="1"/>
    <col min="23" max="23" width="11.88671875" bestFit="1" customWidth="1"/>
    <col min="24" max="24" width="10.33203125" bestFit="1" customWidth="1"/>
    <col min="26" max="26" width="10.33203125" bestFit="1" customWidth="1"/>
    <col min="28" max="31" width="10.33203125" bestFit="1" customWidth="1"/>
    <col min="33" max="36" width="10.33203125" bestFit="1" customWidth="1"/>
    <col min="38" max="38" width="11.88671875" style="15" bestFit="1" customWidth="1"/>
    <col min="40" max="40" width="16" bestFit="1" customWidth="1"/>
    <col min="41" max="41" width="12.6640625" bestFit="1" customWidth="1"/>
  </cols>
  <sheetData>
    <row r="1" spans="1:41" ht="23.4" x14ac:dyDescent="0.3">
      <c r="A1" s="43" t="s">
        <v>77</v>
      </c>
      <c r="B1" s="44"/>
      <c r="C1" s="44"/>
      <c r="D1" s="44"/>
      <c r="E1" s="1"/>
      <c r="F1" s="1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/>
    </row>
    <row r="2" spans="1:41" x14ac:dyDescent="0.3">
      <c r="A2" s="45" t="s">
        <v>76</v>
      </c>
      <c r="B2" s="46"/>
      <c r="C2" s="46"/>
      <c r="D2" s="46"/>
      <c r="E2" s="4"/>
      <c r="F2" s="4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/>
    </row>
    <row r="3" spans="1:41" x14ac:dyDescent="0.3">
      <c r="A3" s="7" t="s">
        <v>0</v>
      </c>
      <c r="B3" s="7" t="s">
        <v>1</v>
      </c>
      <c r="C3" s="7" t="s">
        <v>78</v>
      </c>
      <c r="D3" s="7" t="s">
        <v>2</v>
      </c>
      <c r="E3" s="7" t="s">
        <v>3</v>
      </c>
      <c r="F3" s="8" t="s">
        <v>4</v>
      </c>
      <c r="G3" s="9">
        <v>46143</v>
      </c>
      <c r="H3" s="9">
        <v>46144</v>
      </c>
      <c r="I3" s="9">
        <v>46145</v>
      </c>
      <c r="J3" s="9">
        <v>46146</v>
      </c>
      <c r="K3" s="9">
        <v>46147</v>
      </c>
      <c r="L3" s="9">
        <v>46148</v>
      </c>
      <c r="M3" s="9">
        <v>46149</v>
      </c>
      <c r="N3" s="9">
        <v>46150</v>
      </c>
      <c r="O3" s="9">
        <v>46151</v>
      </c>
      <c r="P3" s="9">
        <v>46152</v>
      </c>
      <c r="Q3" s="9">
        <v>46153</v>
      </c>
      <c r="R3" s="9">
        <v>46154</v>
      </c>
      <c r="S3" s="9">
        <v>46155</v>
      </c>
      <c r="T3" s="9">
        <v>46156</v>
      </c>
      <c r="U3" s="9">
        <v>46157</v>
      </c>
      <c r="V3" s="9">
        <v>46158</v>
      </c>
      <c r="W3" s="9">
        <v>46159</v>
      </c>
      <c r="X3" s="9">
        <v>46160</v>
      </c>
      <c r="Y3" s="9">
        <v>46161</v>
      </c>
      <c r="Z3" s="9">
        <v>46162</v>
      </c>
      <c r="AA3" s="9">
        <v>46163</v>
      </c>
      <c r="AB3" s="9">
        <v>46164</v>
      </c>
      <c r="AC3" s="9">
        <v>46165</v>
      </c>
      <c r="AD3" s="9">
        <v>46166</v>
      </c>
      <c r="AE3" s="9">
        <v>46167</v>
      </c>
      <c r="AF3" s="9">
        <v>46168</v>
      </c>
      <c r="AG3" s="9">
        <v>46169</v>
      </c>
      <c r="AH3" s="9">
        <v>46170</v>
      </c>
      <c r="AI3" s="9">
        <v>46171</v>
      </c>
      <c r="AJ3" s="9">
        <v>38867</v>
      </c>
      <c r="AK3" s="16">
        <v>46173</v>
      </c>
      <c r="AL3" s="17" t="s">
        <v>8</v>
      </c>
      <c r="AN3" s="42" t="s">
        <v>83</v>
      </c>
      <c r="AO3" s="42" t="s">
        <v>82</v>
      </c>
    </row>
    <row r="4" spans="1:41" x14ac:dyDescent="0.3">
      <c r="A4" s="26" t="s">
        <v>13</v>
      </c>
      <c r="B4" s="26" t="s">
        <v>14</v>
      </c>
      <c r="C4" s="27" t="s">
        <v>15</v>
      </c>
      <c r="D4" s="26" t="s">
        <v>5</v>
      </c>
      <c r="E4" s="26" t="s">
        <v>12</v>
      </c>
      <c r="F4" s="14"/>
      <c r="G4" s="35"/>
      <c r="H4" s="35"/>
      <c r="I4" s="35"/>
      <c r="J4" s="35">
        <v>320</v>
      </c>
      <c r="K4" s="35"/>
      <c r="L4" s="35">
        <v>280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4"/>
      <c r="AL4" s="18">
        <f>SUM(G4:AK4)</f>
        <v>600</v>
      </c>
      <c r="AN4" s="41" t="s">
        <v>15</v>
      </c>
      <c r="AO4" s="41" t="s">
        <v>84</v>
      </c>
    </row>
    <row r="5" spans="1:41" x14ac:dyDescent="0.3">
      <c r="A5" s="26" t="s">
        <v>16</v>
      </c>
      <c r="B5" s="26" t="s">
        <v>17</v>
      </c>
      <c r="C5" s="27" t="s">
        <v>15</v>
      </c>
      <c r="D5" s="26" t="s">
        <v>5</v>
      </c>
      <c r="E5" s="37" t="s">
        <v>12</v>
      </c>
      <c r="F5" s="14"/>
      <c r="G5" s="35"/>
      <c r="H5" s="35"/>
      <c r="I5" s="35"/>
      <c r="J5" s="35">
        <v>320</v>
      </c>
      <c r="K5" s="35">
        <v>320</v>
      </c>
      <c r="L5" s="35"/>
      <c r="M5" s="35">
        <v>320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4"/>
      <c r="AL5" s="18">
        <f t="shared" ref="AL5:AL23" si="0">SUM(G5:AK5)</f>
        <v>960</v>
      </c>
      <c r="AN5" s="41" t="s">
        <v>20</v>
      </c>
      <c r="AO5" s="41">
        <v>300</v>
      </c>
    </row>
    <row r="6" spans="1:41" x14ac:dyDescent="0.3">
      <c r="A6" s="26" t="s">
        <v>18</v>
      </c>
      <c r="B6" s="26" t="s">
        <v>19</v>
      </c>
      <c r="C6" s="27" t="s">
        <v>20</v>
      </c>
      <c r="D6" s="26" t="s">
        <v>5</v>
      </c>
      <c r="E6" s="37" t="s">
        <v>12</v>
      </c>
      <c r="F6" s="14"/>
      <c r="G6" s="35"/>
      <c r="H6" s="35"/>
      <c r="I6" s="35"/>
      <c r="J6" s="35">
        <v>300</v>
      </c>
      <c r="K6" s="35">
        <v>300</v>
      </c>
      <c r="L6" s="35">
        <v>300</v>
      </c>
      <c r="M6" s="35">
        <v>300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4"/>
      <c r="AL6" s="18">
        <f t="shared" si="0"/>
        <v>1200</v>
      </c>
      <c r="AN6" s="41" t="s">
        <v>23</v>
      </c>
      <c r="AO6" s="41" t="s">
        <v>86</v>
      </c>
    </row>
    <row r="7" spans="1:41" x14ac:dyDescent="0.3">
      <c r="A7" s="26" t="s">
        <v>21</v>
      </c>
      <c r="B7" s="26" t="s">
        <v>22</v>
      </c>
      <c r="C7" s="39" t="s">
        <v>23</v>
      </c>
      <c r="D7" s="26" t="s">
        <v>5</v>
      </c>
      <c r="E7" s="37" t="s">
        <v>12</v>
      </c>
      <c r="F7" s="14"/>
      <c r="G7" s="35"/>
      <c r="H7" s="35"/>
      <c r="I7" s="35"/>
      <c r="J7" s="35">
        <v>280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4"/>
      <c r="AL7" s="18">
        <f t="shared" si="0"/>
        <v>280</v>
      </c>
      <c r="AN7" s="41" t="s">
        <v>30</v>
      </c>
      <c r="AO7" s="41" t="s">
        <v>87</v>
      </c>
    </row>
    <row r="8" spans="1:41" x14ac:dyDescent="0.3">
      <c r="A8" s="26" t="s">
        <v>24</v>
      </c>
      <c r="B8" s="26" t="s">
        <v>25</v>
      </c>
      <c r="C8" s="39" t="s">
        <v>23</v>
      </c>
      <c r="D8" s="26" t="s">
        <v>5</v>
      </c>
      <c r="E8" s="37" t="s">
        <v>12</v>
      </c>
      <c r="F8" s="14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4"/>
      <c r="AL8" s="18">
        <f t="shared" si="0"/>
        <v>0</v>
      </c>
      <c r="AN8" s="41" t="s">
        <v>85</v>
      </c>
      <c r="AO8" s="41" t="s">
        <v>86</v>
      </c>
    </row>
    <row r="9" spans="1:41" x14ac:dyDescent="0.3">
      <c r="A9" s="26" t="s">
        <v>26</v>
      </c>
      <c r="B9" s="26" t="s">
        <v>27</v>
      </c>
      <c r="C9" s="27" t="s">
        <v>23</v>
      </c>
      <c r="D9" s="26" t="s">
        <v>5</v>
      </c>
      <c r="E9" s="37" t="s">
        <v>12</v>
      </c>
      <c r="F9" s="14"/>
      <c r="G9" s="35"/>
      <c r="H9" s="35"/>
      <c r="I9" s="35"/>
      <c r="J9" s="35">
        <v>280</v>
      </c>
      <c r="K9" s="35"/>
      <c r="L9" s="35">
        <v>280</v>
      </c>
      <c r="M9" s="35">
        <v>280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4"/>
      <c r="AL9" s="18">
        <f t="shared" si="0"/>
        <v>840</v>
      </c>
      <c r="AN9" s="41" t="s">
        <v>33</v>
      </c>
      <c r="AO9" s="41" t="s">
        <v>86</v>
      </c>
    </row>
    <row r="10" spans="1:41" x14ac:dyDescent="0.3">
      <c r="A10" s="26" t="s">
        <v>28</v>
      </c>
      <c r="B10" s="26" t="s">
        <v>29</v>
      </c>
      <c r="C10" s="27" t="s">
        <v>88</v>
      </c>
      <c r="D10" s="26" t="s">
        <v>5</v>
      </c>
      <c r="E10" s="37" t="s">
        <v>12</v>
      </c>
      <c r="F10" s="14"/>
      <c r="G10" s="35"/>
      <c r="H10" s="35"/>
      <c r="I10" s="35"/>
      <c r="J10" s="35">
        <v>250</v>
      </c>
      <c r="K10" s="35">
        <v>320</v>
      </c>
      <c r="L10" s="35">
        <v>320</v>
      </c>
      <c r="M10" s="35">
        <v>320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4"/>
      <c r="AL10" s="18">
        <f t="shared" si="0"/>
        <v>1210</v>
      </c>
    </row>
    <row r="11" spans="1:41" s="36" customFormat="1" x14ac:dyDescent="0.3">
      <c r="A11" s="37" t="s">
        <v>74</v>
      </c>
      <c r="B11" s="37" t="s">
        <v>75</v>
      </c>
      <c r="C11" s="39" t="s">
        <v>79</v>
      </c>
      <c r="D11" s="37" t="s">
        <v>5</v>
      </c>
      <c r="E11" s="37" t="s">
        <v>12</v>
      </c>
      <c r="F11" s="14">
        <v>705994</v>
      </c>
      <c r="G11" s="35"/>
      <c r="H11" s="35"/>
      <c r="I11" s="35"/>
      <c r="J11" s="35"/>
      <c r="K11" s="35">
        <v>350</v>
      </c>
      <c r="L11" s="35">
        <v>280</v>
      </c>
      <c r="M11" s="35">
        <v>280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4"/>
      <c r="AL11" s="18">
        <f t="shared" si="0"/>
        <v>910</v>
      </c>
    </row>
    <row r="12" spans="1:41" x14ac:dyDescent="0.3">
      <c r="A12" s="26" t="s">
        <v>31</v>
      </c>
      <c r="B12" s="26" t="s">
        <v>32</v>
      </c>
      <c r="C12" s="27" t="s">
        <v>33</v>
      </c>
      <c r="D12" s="26" t="s">
        <v>5</v>
      </c>
      <c r="E12" s="37" t="s">
        <v>12</v>
      </c>
      <c r="F12" s="14"/>
      <c r="G12" s="35"/>
      <c r="H12" s="35"/>
      <c r="I12" s="35"/>
      <c r="J12" s="35">
        <v>280</v>
      </c>
      <c r="K12" s="35">
        <v>280</v>
      </c>
      <c r="L12" s="35">
        <v>280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4"/>
      <c r="AL12" s="18">
        <f t="shared" si="0"/>
        <v>840</v>
      </c>
    </row>
    <row r="13" spans="1:41" x14ac:dyDescent="0.3">
      <c r="A13" s="26" t="s">
        <v>34</v>
      </c>
      <c r="B13" s="26" t="s">
        <v>35</v>
      </c>
      <c r="C13" s="27" t="s">
        <v>33</v>
      </c>
      <c r="D13" s="26" t="s">
        <v>5</v>
      </c>
      <c r="E13" s="37" t="s">
        <v>12</v>
      </c>
      <c r="F13" s="14">
        <v>705635</v>
      </c>
      <c r="G13" s="35"/>
      <c r="H13" s="35"/>
      <c r="I13" s="35"/>
      <c r="J13" s="35">
        <v>280</v>
      </c>
      <c r="K13" s="35">
        <v>280</v>
      </c>
      <c r="L13" s="35">
        <v>350</v>
      </c>
      <c r="M13" s="35">
        <v>350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4"/>
      <c r="AL13" s="18">
        <f t="shared" si="0"/>
        <v>1260</v>
      </c>
    </row>
    <row r="14" spans="1:41" x14ac:dyDescent="0.3">
      <c r="A14" s="26" t="s">
        <v>36</v>
      </c>
      <c r="B14" s="26" t="s">
        <v>37</v>
      </c>
      <c r="C14" s="27" t="s">
        <v>33</v>
      </c>
      <c r="D14" s="26" t="s">
        <v>5</v>
      </c>
      <c r="E14" s="37" t="s">
        <v>12</v>
      </c>
      <c r="F14" s="1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4"/>
      <c r="AL14" s="18">
        <f t="shared" si="0"/>
        <v>0</v>
      </c>
    </row>
    <row r="15" spans="1:41" x14ac:dyDescent="0.3">
      <c r="A15" s="26" t="s">
        <v>38</v>
      </c>
      <c r="B15" s="26" t="s">
        <v>39</v>
      </c>
      <c r="C15" s="27" t="s">
        <v>33</v>
      </c>
      <c r="D15" s="26" t="s">
        <v>5</v>
      </c>
      <c r="E15" s="37" t="s">
        <v>12</v>
      </c>
      <c r="F15" s="14"/>
      <c r="G15" s="35"/>
      <c r="H15" s="35"/>
      <c r="I15" s="35"/>
      <c r="J15" s="35">
        <v>280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4"/>
      <c r="AL15" s="18">
        <f t="shared" si="0"/>
        <v>280</v>
      </c>
    </row>
    <row r="16" spans="1:41" x14ac:dyDescent="0.3">
      <c r="A16" s="26" t="s">
        <v>40</v>
      </c>
      <c r="B16" s="26" t="s">
        <v>41</v>
      </c>
      <c r="C16" s="27" t="s">
        <v>33</v>
      </c>
      <c r="D16" s="26" t="s">
        <v>5</v>
      </c>
      <c r="E16" s="37" t="s">
        <v>12</v>
      </c>
      <c r="F16" s="14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4"/>
      <c r="AL16" s="18">
        <f t="shared" si="0"/>
        <v>0</v>
      </c>
    </row>
    <row r="17" spans="1:38" x14ac:dyDescent="0.3">
      <c r="A17" s="26" t="s">
        <v>42</v>
      </c>
      <c r="B17" s="26" t="s">
        <v>43</v>
      </c>
      <c r="C17" s="27" t="s">
        <v>33</v>
      </c>
      <c r="D17" s="26" t="s">
        <v>5</v>
      </c>
      <c r="E17" s="37" t="s">
        <v>12</v>
      </c>
      <c r="F17" s="14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4"/>
      <c r="AL17" s="18">
        <f t="shared" si="0"/>
        <v>0</v>
      </c>
    </row>
    <row r="18" spans="1:38" x14ac:dyDescent="0.3">
      <c r="A18" s="26" t="s">
        <v>44</v>
      </c>
      <c r="B18" s="26" t="s">
        <v>45</v>
      </c>
      <c r="C18" s="27" t="s">
        <v>33</v>
      </c>
      <c r="D18" s="26" t="s">
        <v>5</v>
      </c>
      <c r="E18" s="37" t="s">
        <v>12</v>
      </c>
      <c r="F18" s="14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4"/>
      <c r="AL18" s="18">
        <f t="shared" si="0"/>
        <v>0</v>
      </c>
    </row>
    <row r="19" spans="1:38" x14ac:dyDescent="0.3">
      <c r="A19" s="26" t="s">
        <v>46</v>
      </c>
      <c r="B19" s="26" t="s">
        <v>47</v>
      </c>
      <c r="C19" s="27" t="s">
        <v>33</v>
      </c>
      <c r="D19" s="26" t="s">
        <v>48</v>
      </c>
      <c r="E19" s="37" t="s">
        <v>12</v>
      </c>
      <c r="F19" s="14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4"/>
      <c r="AL19" s="18">
        <f t="shared" si="0"/>
        <v>0</v>
      </c>
    </row>
    <row r="20" spans="1:38" x14ac:dyDescent="0.3">
      <c r="A20" s="26" t="s">
        <v>49</v>
      </c>
      <c r="B20" s="26" t="s">
        <v>50</v>
      </c>
      <c r="C20" s="27" t="s">
        <v>33</v>
      </c>
      <c r="D20" s="26" t="s">
        <v>6</v>
      </c>
      <c r="E20" s="37" t="s">
        <v>12</v>
      </c>
      <c r="F20" s="1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4"/>
      <c r="AL20" s="18">
        <f t="shared" si="0"/>
        <v>0</v>
      </c>
    </row>
    <row r="21" spans="1:38" x14ac:dyDescent="0.3">
      <c r="A21" s="26" t="s">
        <v>51</v>
      </c>
      <c r="B21" s="26" t="s">
        <v>52</v>
      </c>
      <c r="C21" s="27" t="s">
        <v>33</v>
      </c>
      <c r="D21" s="26" t="s">
        <v>6</v>
      </c>
      <c r="E21" s="37" t="s">
        <v>12</v>
      </c>
      <c r="F21" s="14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4"/>
      <c r="AL21" s="18">
        <f t="shared" si="0"/>
        <v>0</v>
      </c>
    </row>
    <row r="22" spans="1:38" x14ac:dyDescent="0.3">
      <c r="A22" s="26" t="s">
        <v>53</v>
      </c>
      <c r="B22" s="26" t="s">
        <v>37</v>
      </c>
      <c r="C22" s="27" t="s">
        <v>33</v>
      </c>
      <c r="D22" s="26" t="s">
        <v>5</v>
      </c>
      <c r="E22" s="37" t="s">
        <v>12</v>
      </c>
      <c r="F22" s="14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4"/>
      <c r="AL22" s="18">
        <f t="shared" si="0"/>
        <v>0</v>
      </c>
    </row>
    <row r="23" spans="1:38" x14ac:dyDescent="0.3">
      <c r="A23" s="26" t="s">
        <v>54</v>
      </c>
      <c r="B23" s="24" t="s">
        <v>55</v>
      </c>
      <c r="C23" s="27" t="s">
        <v>33</v>
      </c>
      <c r="D23" s="28">
        <v>0.75</v>
      </c>
      <c r="E23" s="37" t="s">
        <v>12</v>
      </c>
      <c r="F23" s="14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4"/>
      <c r="AL23" s="18">
        <f t="shared" si="0"/>
        <v>0</v>
      </c>
    </row>
    <row r="24" spans="1:38" s="23" customFormat="1" x14ac:dyDescent="0.3">
      <c r="A24" s="22"/>
      <c r="B24" s="19"/>
      <c r="C24" s="21"/>
      <c r="D24" s="29"/>
      <c r="E24" s="22"/>
      <c r="F24" s="14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4"/>
      <c r="AL24" s="18"/>
    </row>
    <row r="25" spans="1:38" s="23" customFormat="1" x14ac:dyDescent="0.3">
      <c r="A25" s="20" t="s">
        <v>9</v>
      </c>
      <c r="B25" s="30"/>
      <c r="C25" s="31"/>
      <c r="D25" s="32"/>
      <c r="E25" s="33"/>
      <c r="F25" s="14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4"/>
      <c r="AL25" s="18"/>
    </row>
    <row r="26" spans="1:38" s="23" customFormat="1" x14ac:dyDescent="0.3">
      <c r="A26" s="20" t="s">
        <v>10</v>
      </c>
      <c r="B26" s="30"/>
      <c r="C26" s="31"/>
      <c r="D26" s="32"/>
      <c r="E26" s="33"/>
      <c r="F26" s="14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4"/>
      <c r="AL26" s="18"/>
    </row>
    <row r="27" spans="1:38" x14ac:dyDescent="0.3">
      <c r="A27" s="20" t="s">
        <v>11</v>
      </c>
      <c r="B27" s="25"/>
      <c r="C27" s="25"/>
      <c r="D27" s="25"/>
      <c r="E27" s="25"/>
      <c r="F27" s="14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4"/>
      <c r="AL27" s="18"/>
    </row>
    <row r="28" spans="1:38" x14ac:dyDescent="0.3">
      <c r="A28" s="38" t="s">
        <v>56</v>
      </c>
      <c r="B28" s="38" t="s">
        <v>57</v>
      </c>
      <c r="C28" s="40" t="s">
        <v>15</v>
      </c>
      <c r="D28" s="38" t="s">
        <v>5</v>
      </c>
      <c r="E28" s="38" t="s">
        <v>7</v>
      </c>
      <c r="F28" s="14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4"/>
      <c r="AL28" s="18">
        <f>SUM(G28:AK28)</f>
        <v>0</v>
      </c>
    </row>
    <row r="29" spans="1:38" x14ac:dyDescent="0.3">
      <c r="A29" s="38" t="s">
        <v>58</v>
      </c>
      <c r="B29" s="38" t="s">
        <v>59</v>
      </c>
      <c r="C29" s="40" t="s">
        <v>15</v>
      </c>
      <c r="D29" s="38" t="s">
        <v>5</v>
      </c>
      <c r="E29" s="38" t="s">
        <v>7</v>
      </c>
      <c r="F29" s="14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4"/>
      <c r="AL29" s="18">
        <f t="shared" ref="AL29:AL62" si="1">SUM(G29:AK29)</f>
        <v>0</v>
      </c>
    </row>
    <row r="30" spans="1:38" x14ac:dyDescent="0.3">
      <c r="A30" s="38" t="s">
        <v>60</v>
      </c>
      <c r="B30" s="38" t="s">
        <v>61</v>
      </c>
      <c r="C30" s="40" t="s">
        <v>62</v>
      </c>
      <c r="D30" s="38" t="s">
        <v>5</v>
      </c>
      <c r="E30" s="38" t="s">
        <v>7</v>
      </c>
      <c r="F30" s="14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4"/>
      <c r="AL30" s="18">
        <f t="shared" si="1"/>
        <v>0</v>
      </c>
    </row>
    <row r="31" spans="1:38" x14ac:dyDescent="0.3">
      <c r="A31" s="38" t="s">
        <v>63</v>
      </c>
      <c r="B31" s="38" t="s">
        <v>64</v>
      </c>
      <c r="C31" s="40" t="s">
        <v>62</v>
      </c>
      <c r="D31" s="38" t="s">
        <v>6</v>
      </c>
      <c r="E31" s="38" t="s">
        <v>7</v>
      </c>
      <c r="F31" s="14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4"/>
      <c r="AL31" s="18">
        <f t="shared" si="1"/>
        <v>0</v>
      </c>
    </row>
    <row r="32" spans="1:38" x14ac:dyDescent="0.3">
      <c r="A32" s="38" t="s">
        <v>65</v>
      </c>
      <c r="B32" s="38" t="s">
        <v>66</v>
      </c>
      <c r="C32" s="40" t="s">
        <v>67</v>
      </c>
      <c r="D32" s="38" t="s">
        <v>5</v>
      </c>
      <c r="E32" s="38" t="s">
        <v>7</v>
      </c>
      <c r="F32" s="14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4"/>
      <c r="AL32" s="18">
        <f t="shared" si="1"/>
        <v>0</v>
      </c>
    </row>
    <row r="33" spans="1:38" x14ac:dyDescent="0.3">
      <c r="A33" s="38" t="s">
        <v>68</v>
      </c>
      <c r="B33" s="38" t="s">
        <v>69</v>
      </c>
      <c r="C33" s="40" t="s">
        <v>67</v>
      </c>
      <c r="D33" s="38" t="s">
        <v>5</v>
      </c>
      <c r="E33" s="38" t="s">
        <v>7</v>
      </c>
      <c r="F33" s="14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4"/>
      <c r="AL33" s="18">
        <f t="shared" si="1"/>
        <v>0</v>
      </c>
    </row>
    <row r="34" spans="1:38" x14ac:dyDescent="0.3">
      <c r="A34" s="38" t="s">
        <v>70</v>
      </c>
      <c r="B34" s="38" t="s">
        <v>71</v>
      </c>
      <c r="C34" s="40" t="s">
        <v>67</v>
      </c>
      <c r="D34" s="38" t="s">
        <v>6</v>
      </c>
      <c r="E34" s="38" t="s">
        <v>7</v>
      </c>
      <c r="F34" s="14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4"/>
      <c r="AL34" s="18">
        <f t="shared" si="1"/>
        <v>0</v>
      </c>
    </row>
    <row r="35" spans="1:38" x14ac:dyDescent="0.3">
      <c r="A35" s="38" t="s">
        <v>72</v>
      </c>
      <c r="B35" s="38" t="s">
        <v>73</v>
      </c>
      <c r="C35" s="40" t="s">
        <v>67</v>
      </c>
      <c r="D35" s="38" t="s">
        <v>5</v>
      </c>
      <c r="E35" s="38" t="s">
        <v>7</v>
      </c>
      <c r="F35" s="14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4"/>
      <c r="AL35" s="18">
        <f t="shared" si="1"/>
        <v>0</v>
      </c>
    </row>
    <row r="36" spans="1:38" x14ac:dyDescent="0.3">
      <c r="A36" s="38" t="s">
        <v>80</v>
      </c>
      <c r="B36" s="10" t="s">
        <v>81</v>
      </c>
      <c r="C36" s="40" t="s">
        <v>20</v>
      </c>
      <c r="D36" s="38" t="s">
        <v>6</v>
      </c>
      <c r="E36" s="38" t="s">
        <v>7</v>
      </c>
      <c r="F36" s="14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4"/>
      <c r="AL36" s="18">
        <f t="shared" si="1"/>
        <v>0</v>
      </c>
    </row>
    <row r="37" spans="1:38" x14ac:dyDescent="0.3">
      <c r="A37" s="12"/>
      <c r="B37" s="10"/>
      <c r="C37" s="10"/>
      <c r="D37" s="10"/>
      <c r="E37" s="11"/>
      <c r="F37" s="14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4"/>
      <c r="AL37" s="18">
        <f t="shared" si="1"/>
        <v>0</v>
      </c>
    </row>
    <row r="38" spans="1:38" x14ac:dyDescent="0.3">
      <c r="A38" s="12"/>
      <c r="B38" s="10"/>
      <c r="C38" s="10"/>
      <c r="D38" s="10"/>
      <c r="E38" s="11"/>
      <c r="F38" s="14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4"/>
      <c r="AL38" s="18">
        <f t="shared" si="1"/>
        <v>0</v>
      </c>
    </row>
    <row r="39" spans="1:38" x14ac:dyDescent="0.3">
      <c r="A39" s="12"/>
      <c r="B39" s="10"/>
      <c r="C39" s="10"/>
      <c r="D39" s="13"/>
      <c r="E39" s="11"/>
      <c r="F39" s="14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4"/>
      <c r="AL39" s="18">
        <f t="shared" si="1"/>
        <v>0</v>
      </c>
    </row>
    <row r="40" spans="1:38" x14ac:dyDescent="0.3">
      <c r="A40" s="12"/>
      <c r="B40" s="10"/>
      <c r="C40" s="10"/>
      <c r="D40" s="10"/>
      <c r="E40" s="11"/>
      <c r="F40" s="14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4"/>
      <c r="AL40" s="18">
        <f t="shared" si="1"/>
        <v>0</v>
      </c>
    </row>
    <row r="41" spans="1:38" x14ac:dyDescent="0.3">
      <c r="A41" s="12"/>
      <c r="B41" s="10"/>
      <c r="C41" s="10"/>
      <c r="D41" s="10"/>
      <c r="E41" s="11"/>
      <c r="F41" s="14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4"/>
      <c r="AL41" s="18">
        <f t="shared" si="1"/>
        <v>0</v>
      </c>
    </row>
    <row r="42" spans="1:38" x14ac:dyDescent="0.3">
      <c r="A42" s="12"/>
      <c r="B42" s="10"/>
      <c r="C42" s="10"/>
      <c r="D42" s="10"/>
      <c r="E42" s="11"/>
      <c r="F42" s="14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4"/>
      <c r="AL42" s="18">
        <f t="shared" si="1"/>
        <v>0</v>
      </c>
    </row>
    <row r="43" spans="1:38" x14ac:dyDescent="0.3">
      <c r="A43" s="12"/>
      <c r="B43" s="10"/>
      <c r="C43" s="10"/>
      <c r="D43" s="10"/>
      <c r="E43" s="11"/>
      <c r="F43" s="1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4"/>
      <c r="AL43" s="18">
        <f t="shared" si="1"/>
        <v>0</v>
      </c>
    </row>
    <row r="44" spans="1:38" x14ac:dyDescent="0.3">
      <c r="A44" s="12"/>
      <c r="B44" s="10"/>
      <c r="C44" s="10"/>
      <c r="D44" s="10"/>
      <c r="E44" s="11"/>
      <c r="F44" s="1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4"/>
      <c r="AL44" s="18">
        <f t="shared" si="1"/>
        <v>0</v>
      </c>
    </row>
    <row r="45" spans="1:38" x14ac:dyDescent="0.3">
      <c r="A45" s="12"/>
      <c r="B45" s="10"/>
      <c r="C45" s="10"/>
      <c r="D45" s="10"/>
      <c r="E45" s="11"/>
      <c r="F45" s="1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4"/>
      <c r="AL45" s="18">
        <f t="shared" si="1"/>
        <v>0</v>
      </c>
    </row>
    <row r="46" spans="1:38" x14ac:dyDescent="0.3">
      <c r="A46" s="12"/>
      <c r="B46" s="10"/>
      <c r="C46" s="10"/>
      <c r="D46" s="10"/>
      <c r="E46" s="11"/>
      <c r="F46" s="1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4"/>
      <c r="AL46" s="18">
        <f t="shared" si="1"/>
        <v>0</v>
      </c>
    </row>
    <row r="47" spans="1:38" x14ac:dyDescent="0.3">
      <c r="A47" s="12"/>
      <c r="B47" s="10"/>
      <c r="C47" s="10"/>
      <c r="D47" s="10"/>
      <c r="E47" s="11"/>
      <c r="F47" s="1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4"/>
      <c r="AL47" s="18">
        <f t="shared" si="1"/>
        <v>0</v>
      </c>
    </row>
    <row r="48" spans="1:38" x14ac:dyDescent="0.3">
      <c r="A48" s="12"/>
      <c r="B48" s="10"/>
      <c r="C48" s="10"/>
      <c r="D48" s="10"/>
      <c r="E48" s="11"/>
      <c r="F48" s="14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4"/>
      <c r="AL48" s="18">
        <f t="shared" si="1"/>
        <v>0</v>
      </c>
    </row>
    <row r="49" spans="1:38" x14ac:dyDescent="0.3">
      <c r="A49" s="12"/>
      <c r="B49" s="10"/>
      <c r="C49" s="10"/>
      <c r="D49" s="10"/>
      <c r="E49" s="11"/>
      <c r="F49" s="14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4"/>
      <c r="AL49" s="18">
        <f t="shared" si="1"/>
        <v>0</v>
      </c>
    </row>
    <row r="50" spans="1:38" x14ac:dyDescent="0.3">
      <c r="A50" s="12"/>
      <c r="B50" s="10"/>
      <c r="C50" s="10"/>
      <c r="D50" s="10"/>
      <c r="E50" s="11"/>
      <c r="F50" s="14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4"/>
      <c r="AL50" s="18">
        <f t="shared" si="1"/>
        <v>0</v>
      </c>
    </row>
    <row r="51" spans="1:38" x14ac:dyDescent="0.3">
      <c r="A51" s="12"/>
      <c r="B51" s="10"/>
      <c r="C51" s="10"/>
      <c r="D51" s="10"/>
      <c r="E51" s="11"/>
      <c r="F51" s="14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4"/>
      <c r="AL51" s="18">
        <f t="shared" si="1"/>
        <v>0</v>
      </c>
    </row>
    <row r="52" spans="1:38" x14ac:dyDescent="0.3">
      <c r="A52" s="12"/>
      <c r="B52" s="10"/>
      <c r="C52" s="10"/>
      <c r="D52" s="10"/>
      <c r="E52" s="11"/>
      <c r="F52" s="14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4"/>
      <c r="AL52" s="18">
        <f t="shared" si="1"/>
        <v>0</v>
      </c>
    </row>
    <row r="53" spans="1:38" x14ac:dyDescent="0.3">
      <c r="A53" s="12"/>
      <c r="B53" s="10"/>
      <c r="C53" s="10"/>
      <c r="D53" s="10"/>
      <c r="E53" s="11"/>
      <c r="F53" s="14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4"/>
      <c r="AL53" s="18">
        <f t="shared" si="1"/>
        <v>0</v>
      </c>
    </row>
    <row r="54" spans="1:38" x14ac:dyDescent="0.3">
      <c r="A54" s="12"/>
      <c r="B54" s="10"/>
      <c r="C54" s="10"/>
      <c r="D54" s="10"/>
      <c r="E54" s="11"/>
      <c r="F54" s="14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4"/>
      <c r="AL54" s="18">
        <f t="shared" si="1"/>
        <v>0</v>
      </c>
    </row>
    <row r="55" spans="1:38" x14ac:dyDescent="0.3">
      <c r="A55" s="12"/>
      <c r="B55" s="10"/>
      <c r="C55" s="10"/>
      <c r="D55" s="10"/>
      <c r="E55" s="11"/>
      <c r="F55" s="14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4"/>
      <c r="AL55" s="18">
        <f t="shared" si="1"/>
        <v>0</v>
      </c>
    </row>
    <row r="56" spans="1:38" x14ac:dyDescent="0.3">
      <c r="A56" s="12"/>
      <c r="B56" s="10"/>
      <c r="C56" s="10"/>
      <c r="D56" s="10"/>
      <c r="E56" s="11"/>
      <c r="F56" s="14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4"/>
      <c r="AL56" s="18">
        <f t="shared" si="1"/>
        <v>0</v>
      </c>
    </row>
    <row r="57" spans="1:38" x14ac:dyDescent="0.3">
      <c r="A57" s="12"/>
      <c r="B57" s="10"/>
      <c r="C57" s="10"/>
      <c r="D57" s="10"/>
      <c r="E57" s="11"/>
      <c r="F57" s="14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4"/>
      <c r="AL57" s="18">
        <f t="shared" si="1"/>
        <v>0</v>
      </c>
    </row>
    <row r="58" spans="1:38" x14ac:dyDescent="0.3">
      <c r="A58" s="12"/>
      <c r="B58" s="10"/>
      <c r="C58" s="10"/>
      <c r="D58" s="10"/>
      <c r="E58" s="11"/>
      <c r="F58" s="14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4"/>
      <c r="AL58" s="18">
        <f t="shared" si="1"/>
        <v>0</v>
      </c>
    </row>
    <row r="59" spans="1:38" x14ac:dyDescent="0.3">
      <c r="A59" s="12"/>
      <c r="B59" s="10"/>
      <c r="C59" s="10"/>
      <c r="D59" s="10"/>
      <c r="E59" s="11"/>
      <c r="F59" s="14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4"/>
      <c r="AL59" s="18">
        <f t="shared" si="1"/>
        <v>0</v>
      </c>
    </row>
    <row r="60" spans="1:38" x14ac:dyDescent="0.3">
      <c r="A60" s="12"/>
      <c r="B60" s="10"/>
      <c r="C60" s="10"/>
      <c r="D60" s="10"/>
      <c r="E60" s="11"/>
      <c r="F60" s="14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4"/>
      <c r="AL60" s="18">
        <f t="shared" si="1"/>
        <v>0</v>
      </c>
    </row>
    <row r="61" spans="1:38" x14ac:dyDescent="0.3">
      <c r="A61" s="12"/>
      <c r="B61" s="10"/>
      <c r="C61" s="10"/>
      <c r="D61" s="10"/>
      <c r="E61" s="11"/>
      <c r="F61" s="14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4"/>
      <c r="AL61" s="18">
        <f t="shared" si="1"/>
        <v>0</v>
      </c>
    </row>
    <row r="62" spans="1:38" x14ac:dyDescent="0.3">
      <c r="A62" s="12"/>
      <c r="B62" s="10"/>
      <c r="C62" s="10"/>
      <c r="D62" s="10"/>
      <c r="E62" s="11"/>
      <c r="F62" s="14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4"/>
      <c r="AL62" s="18">
        <f t="shared" si="1"/>
        <v>0</v>
      </c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Celestino</dc:creator>
  <cp:lastModifiedBy>Caique Celestino</cp:lastModifiedBy>
  <dcterms:created xsi:type="dcterms:W3CDTF">2026-04-02T14:24:35Z</dcterms:created>
  <dcterms:modified xsi:type="dcterms:W3CDTF">2026-05-08T17:36:20Z</dcterms:modified>
</cp:coreProperties>
</file>